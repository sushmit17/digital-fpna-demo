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Detail" sheetId="1" state="visible" r:id="rId3"/>
    <sheet name="LBE FY2026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<sst xmlns="http://schemas.openxmlformats.org/spreadsheetml/2006/main" count="32" uniqueCount="23">
  <si>
    <t xml:space="preserve">Oncology — Product Detail  |  LBE FY2026</t>
  </si>
  <si>
    <t xml:space="preserve">Volumes in 000 units  |  Price = Average Net Price EUR/unit  |  Net Sales in EUR millions</t>
  </si>
  <si>
    <t xml:space="preserve">Volume (000 units)</t>
  </si>
  <si>
    <t xml:space="preserve">Avg Net Price (EUR/unit)</t>
  </si>
  <si>
    <t xml:space="preserve">Net Sales (EUR millions)</t>
  </si>
  <si>
    <t xml:space="preserve">Product</t>
  </si>
  <si>
    <t xml:space="preserve">LBE</t>
  </si>
  <si>
    <t xml:space="preserve">Prior LBE</t>
  </si>
  <si>
    <t xml:space="preserve">Budget</t>
  </si>
  <si>
    <t xml:space="preserve">Prior Year</t>
  </si>
  <si>
    <t xml:space="preserve">Onco-Prime (1L Solid Tumours)</t>
  </si>
  <si>
    <t xml:space="preserve">Onco-Next (2L, Haematology)</t>
  </si>
  <si>
    <t xml:space="preserve">Onco-Support (Supportive Care)</t>
  </si>
  <si>
    <t xml:space="preserve">Total Net Sales</t>
  </si>
  <si>
    <t xml:space="preserve">Oncology — LBE FY2026 Submission</t>
  </si>
  <si>
    <t xml:space="preserve">Unit: Oncology  |  Type: Sales Unit  |  Currency: EUR millions</t>
  </si>
  <si>
    <t xml:space="preserve">P&amp;L Line</t>
  </si>
  <si>
    <t xml:space="preserve">LBE FY2026</t>
  </si>
  <si>
    <t xml:space="preserve">Budget FY2026</t>
  </si>
  <si>
    <t xml:space="preserve">Prior Year (FY2025)</t>
  </si>
  <si>
    <t xml:space="preserve">Net Sales</t>
  </si>
  <si>
    <t xml:space="preserve">Distribution Margin</t>
  </si>
  <si>
    <t xml:space="preserve">Note: Net Sales linked from Product Detail tab (Vol × Price / 1,000,000). Distribution Margin = Net Sales × margin %. All figures EUR millions.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</si>
</sst>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#,##0.00;\(#,##0.00\);\-"/>
    <numFmt numFmtId="167" formatCode="#,##0.0;\(#,##0.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sz val="9"/>
      <color rgb="FF5A6A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1A1A2E"/>
      <name val="Calibri"/>
      <family val="0"/>
      <charset val="1"/>
    </font>
    <font>
      <sz val="10"/>
      <color rgb="FF1A6B3C"/>
      <name val="Calibri"/>
      <family val="0"/>
      <charset val="1"/>
    </font>
    <font>
      <b val="true"/>
      <sz val="10"/>
      <color rgb="FF1A6B3C"/>
      <name val="Calibri"/>
      <family val="0"/>
      <charset val="1"/>
    </font>
    <font>
      <i val="true"/>
      <sz val="9"/>
      <color rgb="FF7A8FA8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EF2F8"/>
        <bgColor rgb="FFF2F4F8"/>
      </patternFill>
    </fill>
    <fill>
      <patternFill patternType="solid">
        <fgColor rgb="FF2E5FA3"/>
        <bgColor rgb="FF5A6A80"/>
      </patternFill>
    </fill>
    <fill>
      <patternFill patternType="solid">
        <fgColor rgb="FF00B0A0"/>
        <bgColor rgb="FF33CCCC"/>
      </patternFill>
    </fill>
    <fill>
      <patternFill patternType="solid">
        <fgColor rgb="FFF2F4F8"/>
        <bgColor rgb="FFEEF2F8"/>
      </patternFill>
    </fill>
    <fill>
      <patternFill patternType="solid">
        <fgColor rgb="FFFFFFFF"/>
        <bgColor rgb="FFF8F9FB"/>
      </patternFill>
    </fill>
    <fill>
      <patternFill patternType="solid">
        <fgColor rgb="FFF8F9FB"/>
        <bgColor rgb="FFF2F4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5D0DC"/>
      </left>
      <right style="thin">
        <color rgb="FFC5D0DC"/>
      </right>
      <top style="thin">
        <color rgb="FFC5D0DC"/>
      </top>
      <bottom style="thin">
        <color rgb="FFC5D0DC"/>
      </bottom>
      <diagonal/>
    </border>
    <border diagonalUp="false" diagonalDown="false">
      <left style="thin">
        <color rgb="FFC5D0DC"/>
      </left>
      <right style="thin">
        <color rgb="FFC5D0DC"/>
      </right>
      <top style="thin">
        <color rgb="FFC5D0DC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8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8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3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7" fontId="10" fillId="3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B"/>
      <rgbColor rgb="FFEEF2F8"/>
      <rgbColor rgb="FF660066"/>
      <rgbColor rgb="FFFF8080"/>
      <rgbColor rgb="FF2E5FA3"/>
      <rgbColor rgb="FFC5D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F2F4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A80"/>
      <rgbColor rgb="FF7A8FA8"/>
      <rgbColor rgb="FF1F3864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9" min="2" style="1" width="10"/>
    <col collapsed="false" customWidth="true" hidden="false" outlineLevel="0" max="13" min="10" style="1" width="1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7.5" hidden="false" customHeight="true" outlineLevel="0" collapsed="false"/>
    <row r="4" customFormat="false" ht="6" hidden="false" customHeight="true" outlineLevel="0" collapsed="false"/>
    <row r="5" customFormat="false" ht="19.5" hidden="false" customHeight="true" outlineLevel="0" collapsed="false">
      <c r="B5" s="4" t="s">
        <v>2</v>
      </c>
      <c r="C5" s="4"/>
      <c r="D5" s="4"/>
      <c r="E5" s="4"/>
      <c r="F5" s="5" t="s">
        <v>3</v>
      </c>
      <c r="G5" s="5"/>
      <c r="H5" s="5"/>
      <c r="I5" s="5"/>
      <c r="J5" s="6" t="s">
        <v>4</v>
      </c>
      <c r="K5" s="6"/>
      <c r="L5" s="6"/>
      <c r="M5" s="6"/>
    </row>
    <row r="6" customFormat="false" ht="18" hidden="false" customHeight="true" outlineLevel="0" collapsed="false">
      <c r="A6" s="7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5" t="s">
        <v>6</v>
      </c>
      <c r="G6" s="5" t="s">
        <v>7</v>
      </c>
      <c r="H6" s="5" t="s">
        <v>8</v>
      </c>
      <c r="I6" s="5" t="s">
        <v>9</v>
      </c>
      <c r="J6" s="6" t="s">
        <v>6</v>
      </c>
      <c r="K6" s="6" t="s">
        <v>7</v>
      </c>
      <c r="L6" s="6" t="s">
        <v>8</v>
      </c>
      <c r="M6" s="6" t="s">
        <v>9</v>
      </c>
    </row>
    <row r="7" customFormat="false" ht="18" hidden="false" customHeight="true" outlineLevel="0" collapsed="false">
      <c r="A7" s="8" t="s">
        <v>10</v>
      </c>
      <c r="B7" s="9" t="n">
        <v>12400</v>
      </c>
      <c r="C7" s="9" t="n">
        <v>13200</v>
      </c>
      <c r="D7" s="9" t="n">
        <v>14800</v>
      </c>
      <c r="E7" s="9" t="n">
        <v>11600</v>
      </c>
      <c r="F7" s="10" t="n">
        <v>8950</v>
      </c>
      <c r="G7" s="10" t="n">
        <v>8950</v>
      </c>
      <c r="H7" s="10" t="n">
        <v>9000</v>
      </c>
      <c r="I7" s="10" t="n">
        <v>8800</v>
      </c>
      <c r="J7" s="11" t="n">
        <f aca="false">ROUND(B7*F7/1000000,1)</f>
        <v>111</v>
      </c>
      <c r="K7" s="11" t="n">
        <f aca="false">ROUND(C7*G7/1000000,1)</f>
        <v>118.1</v>
      </c>
      <c r="L7" s="11" t="n">
        <f aca="false">ROUND(D7*H7/1000000,1)</f>
        <v>133.2</v>
      </c>
      <c r="M7" s="11" t="n">
        <f aca="false">ROUND(E7*I7/1000000,1)</f>
        <v>102.1</v>
      </c>
    </row>
    <row r="8" customFormat="false" ht="18" hidden="false" customHeight="true" outlineLevel="0" collapsed="false">
      <c r="A8" s="12" t="s">
        <v>11</v>
      </c>
      <c r="B8" s="13" t="n">
        <v>8200</v>
      </c>
      <c r="C8" s="13" t="n">
        <v>8600</v>
      </c>
      <c r="D8" s="13" t="n">
        <v>9200</v>
      </c>
      <c r="E8" s="13" t="n">
        <v>6900</v>
      </c>
      <c r="F8" s="14" t="n">
        <v>7640</v>
      </c>
      <c r="G8" s="14" t="n">
        <v>7620</v>
      </c>
      <c r="H8" s="14" t="n">
        <v>7600</v>
      </c>
      <c r="I8" s="14" t="n">
        <v>7500</v>
      </c>
      <c r="J8" s="15" t="n">
        <f aca="false">ROUND(B8*F8/1000000,1)</f>
        <v>62.6</v>
      </c>
      <c r="K8" s="15" t="n">
        <f aca="false">ROUND(C8*G8/1000000,1)</f>
        <v>65.5</v>
      </c>
      <c r="L8" s="15" t="n">
        <f aca="false">ROUND(D8*H8/1000000,1)</f>
        <v>69.9</v>
      </c>
      <c r="M8" s="15" t="n">
        <f aca="false">ROUND(E8*I8/1000000,1)</f>
        <v>51.8</v>
      </c>
    </row>
    <row r="9" customFormat="false" ht="18" hidden="false" customHeight="true" outlineLevel="0" collapsed="false">
      <c r="A9" s="8" t="s">
        <v>12</v>
      </c>
      <c r="B9" s="9" t="n">
        <v>22100</v>
      </c>
      <c r="C9" s="9" t="n">
        <v>22400</v>
      </c>
      <c r="D9" s="9" t="n">
        <v>22000</v>
      </c>
      <c r="E9" s="9" t="n">
        <v>20800</v>
      </c>
      <c r="F9" s="10" t="n">
        <v>1340</v>
      </c>
      <c r="G9" s="10" t="n">
        <v>1350</v>
      </c>
      <c r="H9" s="10" t="n">
        <v>1350</v>
      </c>
      <c r="I9" s="10" t="n">
        <v>1320</v>
      </c>
      <c r="J9" s="11" t="n">
        <f aca="false">ROUND(B9*F9/1000000,1)</f>
        <v>29.6</v>
      </c>
      <c r="K9" s="11" t="n">
        <f aca="false">ROUND(C9*G9/1000000,1)</f>
        <v>30.2</v>
      </c>
      <c r="L9" s="11" t="n">
        <f aca="false">ROUND(D9*H9/1000000,1)</f>
        <v>29.7</v>
      </c>
      <c r="M9" s="11" t="n">
        <f aca="false">ROUND(E9*I9/1000000,1)</f>
        <v>27.5</v>
      </c>
    </row>
    <row r="10" customFormat="false" ht="19.5" hidden="false" customHeight="true" outlineLevel="0" collapsed="false">
      <c r="A10" s="16" t="s">
        <v>13</v>
      </c>
      <c r="B10" s="17"/>
      <c r="C10" s="17"/>
      <c r="D10" s="17"/>
      <c r="E10" s="17"/>
      <c r="F10" s="17"/>
      <c r="G10" s="17"/>
      <c r="H10" s="17"/>
      <c r="I10" s="17"/>
      <c r="J10" s="18" t="n">
        <f aca="false">SUM(J7:J9)</f>
        <v>203.2</v>
      </c>
      <c r="K10" s="18" t="n">
        <f aca="false">SUM(K7:K9)</f>
        <v>213.8</v>
      </c>
      <c r="L10" s="18" t="n">
        <f aca="false">SUM(L7:L9)</f>
        <v>232.8</v>
      </c>
      <c r="M10" s="18" t="n">
        <f aca="false">SUM(M7:M9)</f>
        <v>181.4</v>
      </c>
    </row>
  </sheetData>
  <mergeCells count="5">
    <mergeCell ref="A1:M1"/>
    <mergeCell ref="A2:M2"/>
    <mergeCell ref="B5:E5"/>
    <mergeCell ref="F5:I5"/>
    <mergeCell ref="J5:M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4"/>
  </cols>
  <sheetData>
    <row r="1" customFormat="false" ht="27.75" hidden="false" customHeight="true" outlineLevel="0" collapsed="false">
      <c r="A1" s="2" t="s">
        <v>14</v>
      </c>
      <c r="B1" s="2"/>
      <c r="C1" s="2"/>
      <c r="D1" s="2"/>
      <c r="E1" s="2"/>
    </row>
    <row r="2" customFormat="false" ht="15" hidden="false" customHeight="true" outlineLevel="0" collapsed="false">
      <c r="A2" s="3" t="s">
        <v>15</v>
      </c>
      <c r="B2" s="3"/>
      <c r="C2" s="3"/>
      <c r="D2" s="3"/>
      <c r="E2" s="3"/>
    </row>
    <row r="3" customFormat="false" ht="7.5" hidden="false" customHeight="true" outlineLevel="0" collapsed="false"/>
    <row r="4" customFormat="false" ht="19.5" hidden="false" customHeight="true" outlineLevel="0" collapsed="false">
      <c r="A4" s="19" t="s">
        <v>16</v>
      </c>
      <c r="B4" s="4" t="s">
        <v>17</v>
      </c>
      <c r="C4" s="4" t="s">
        <v>7</v>
      </c>
      <c r="D4" s="4" t="s">
        <v>18</v>
      </c>
      <c r="E4" s="4" t="s">
        <v>19</v>
      </c>
    </row>
    <row r="5" customFormat="false" ht="19.5" hidden="false" customHeight="true" outlineLevel="0" collapsed="false">
      <c r="A5" s="16" t="s">
        <v>20</v>
      </c>
      <c r="B5" s="20" t="n">
        <f aca="false">'Product Detail'!J10</f>
        <v>203.2</v>
      </c>
      <c r="C5" s="20" t="n">
        <f aca="false">'Product Detail'!K10</f>
        <v>213.8</v>
      </c>
      <c r="D5" s="20" t="n">
        <f aca="false">'Product Detail'!L10</f>
        <v>232.8</v>
      </c>
      <c r="E5" s="20" t="n">
        <f aca="false">'Product Detail'!M10</f>
        <v>181.4</v>
      </c>
    </row>
    <row r="6" customFormat="false" ht="19.5" hidden="false" customHeight="true" outlineLevel="0" collapsed="false">
      <c r="A6" s="16" t="s">
        <v>21</v>
      </c>
      <c r="B6" s="20" t="n">
        <f aca="false">ROUND(B5*0.75,1)</f>
        <v>152.4</v>
      </c>
      <c r="C6" s="20" t="n">
        <f aca="false">ROUND(C5*0.75,1)</f>
        <v>160.4</v>
      </c>
      <c r="D6" s="20" t="n">
        <f aca="false">ROUND(D5*0.75,1)</f>
        <v>174.6</v>
      </c>
      <c r="E6" s="20" t="n">
        <f aca="false">ROUND(E5*0.75,1)</f>
        <v>136.1</v>
      </c>
    </row>
    <row r="8" customFormat="false" ht="15" hidden="false" customHeight="false" outlineLevel="0" collapsed="false">
      <c r="A8" s="21" t="s">
        <v>22</v>
      </c>
      <c r="B8" s="21"/>
      <c r="C8" s="21"/>
      <c r="D8" s="21"/>
      <c r="E8" s="21"/>
    </row>
  </sheetData>
  <mergeCells count="3">
    <mergeCell ref="A1:E1"/>
    <mergeCell ref="A2:E2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2026-02-28T22:36:34Z</dcterms:created>
  <dc:creator>openpyxl</dc:creator>
  <dc:description/>
  <dc:language>en-US</dc:language>
  <cp:lastModifiedBy/>
  <dcterms:modified xsi:type="dcterms:W3CDTF">2026-02-28T22:36:34Z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